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9BE41B34-E96C-8F4F-BB03-DA4B1533037F}" xr6:coauthVersionLast="47" xr6:coauthVersionMax="47" xr10:uidLastSave="{00000000-0000-0000-0000-000000000000}"/>
  <bookViews>
    <workbookView xWindow="15740" yWindow="4620" windowWidth="28040" windowHeight="17420" xr2:uid="{34029D6F-9980-EE43-B110-D64E49E093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<sst xmlns="http://schemas.openxmlformats.org/spreadsheetml/2006/main" count="20" uniqueCount="10">
  <si>
    <t>group</t>
  </si>
  <si>
    <t>tool</t>
  </si>
  <si>
    <t>focal_lineage_pct</t>
  </si>
  <si>
    <t>non_focal_pct</t>
  </si>
  <si>
    <t>Asgard</t>
  </si>
  <si>
    <t>geNomad</t>
  </si>
  <si>
    <t>Phager</t>
  </si>
  <si>
    <t>TACK</t>
  </si>
  <si>
    <t>Euryarchaeota</t>
  </si>
  <si>
    <t>DPANN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</si>
</sst>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75BF-50A1-804F-A8B4-332AB948245F}">
  <dimension ref="A1:D18"/>
  <sheetViews>
    <sheetView tabSelected="1" zoomScale="200" workbookViewId="0">
      <selection activeCell="C7" sqref="C7"/>
    </sheetView>
  </sheetViews>
  <sheetFormatPr baseColWidth="10" defaultRowHeight="16" x14ac:dyDescent="0.2"/>
  <cols>
    <col min="1" max="1" width="12.6640625" style="1" bestFit="1" customWidth="1"/>
    <col min="2" max="2" width="10.83203125" style="1"/>
    <col min="3" max="3" width="15.83203125" style="1" bestFit="1" customWidth="1"/>
    <col min="4" max="4" width="13.1640625" style="1" bestFit="1" customWidth="1"/>
    <col min="5" max="16384" width="10.83203125" style="1"/>
  </cols>
  <sheetData>
    <row r="1" spans="1: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5</v>
      </c>
      <c r="C2" s="3">
        <f>106/(106+213)*100</f>
        <v>33.228840125391848</v>
      </c>
      <c r="D2" s="3">
        <f>213/(106+213)*100</f>
        <v>66.771159874608159</v>
      </c>
    </row>
    <row r="3" spans="1:4" x14ac:dyDescent="0.2">
      <c r="A3" s="1" t="s">
        <v>4</v>
      </c>
      <c r="B3" s="1" t="s">
        <v>6</v>
      </c>
      <c r="C3" s="3">
        <f>485/(485+275)*100</f>
        <v>63.815789473684212</v>
      </c>
      <c r="D3" s="3">
        <f>275/(485+275)*100</f>
        <v>36.184210526315788</v>
      </c>
    </row>
    <row r="4" spans="1:4" x14ac:dyDescent="0.2">
      <c r="A4" s="1" t="s">
        <v>7</v>
      </c>
      <c r="B4" s="1" t="s">
        <v>5</v>
      </c>
      <c r="C4" s="3">
        <f>26/(26+63)*100</f>
        <v>29.213483146067414</v>
      </c>
      <c r="D4" s="3">
        <f>63/(26+63)*100</f>
        <v>70.786516853932582</v>
      </c>
    </row>
    <row r="5" spans="1:4" x14ac:dyDescent="0.2">
      <c r="A5" s="1" t="s">
        <v>7</v>
      </c>
      <c r="B5" s="1" t="s">
        <v>6</v>
      </c>
      <c r="C5" s="3">
        <f>71/(71+70)*100</f>
        <v>50.354609929078009</v>
      </c>
      <c r="D5" s="3">
        <f>70/(71+70)*100</f>
        <v>49.645390070921984</v>
      </c>
    </row>
    <row r="6" spans="1:4" x14ac:dyDescent="0.2">
      <c r="A6" s="1" t="s">
        <v>8</v>
      </c>
      <c r="B6" s="1" t="s">
        <v>5</v>
      </c>
      <c r="C6" s="3">
        <f>37/(37+82)*100</f>
        <v>31.092436974789916</v>
      </c>
      <c r="D6" s="3">
        <f>82/(37+82)*100</f>
        <v>68.907563025210081</v>
      </c>
    </row>
    <row r="7" spans="1:4" x14ac:dyDescent="0.2">
      <c r="A7" s="1" t="s">
        <v>8</v>
      </c>
      <c r="B7" s="1" t="s">
        <v>6</v>
      </c>
      <c r="C7" s="3">
        <f>206/(206+273)*100</f>
        <v>43.006263048016699</v>
      </c>
      <c r="D7" s="3">
        <f>273/(206+273)*100</f>
        <v>56.993736951983301</v>
      </c>
    </row>
    <row r="8" spans="1:4" x14ac:dyDescent="0.2">
      <c r="A8" s="1" t="s">
        <v>9</v>
      </c>
      <c r="B8" s="1" t="s">
        <v>5</v>
      </c>
      <c r="C8" s="3">
        <f>16/(16+63)*100</f>
        <v>20.253164556962027</v>
      </c>
      <c r="D8" s="3">
        <f>63/(16+63)*100</f>
        <v>79.74683544303798</v>
      </c>
    </row>
    <row r="9" spans="1:4" x14ac:dyDescent="0.2">
      <c r="A9" s="1" t="s">
        <v>9</v>
      </c>
      <c r="B9" s="1" t="s">
        <v>6</v>
      </c>
      <c r="C9" s="3">
        <f>97/(97+248)*100</f>
        <v>28.115942028985508</v>
      </c>
      <c r="D9" s="3">
        <f>248/(97+248)*100</f>
        <v>71.884057971014499</v>
      </c>
    </row>
    <row r="10" spans="1:4" x14ac:dyDescent="0.2">
      <c r="C10" s="3"/>
      <c r="D10" s="3"/>
    </row>
    <row r="11" spans="1:4" x14ac:dyDescent="0.2">
      <c r="C11" s="3"/>
      <c r="D11" s="3"/>
    </row>
    <row r="12" spans="1:4" x14ac:dyDescent="0.2">
      <c r="C12" s="3"/>
      <c r="D12" s="3"/>
    </row>
    <row r="13" spans="1:4" x14ac:dyDescent="0.2">
      <c r="C13" s="3"/>
      <c r="D13" s="3"/>
    </row>
    <row r="14" spans="1:4" x14ac:dyDescent="0.2">
      <c r="C14" s="3"/>
      <c r="D14" s="3"/>
    </row>
    <row r="15" spans="1:4" x14ac:dyDescent="0.2">
      <c r="C15" s="3"/>
      <c r="D15" s="3"/>
    </row>
    <row r="16" spans="1:4" x14ac:dyDescent="0.2">
      <c r="C16" s="3"/>
      <c r="D16" s="3"/>
    </row>
    <row r="17" spans="3:4" x14ac:dyDescent="0.2">
      <c r="C17" s="3"/>
      <c r="D17" s="3"/>
    </row>
    <row r="18" spans="3:4" x14ac:dyDescent="0.2">
      <c r="C18" s="3"/>
      <c r="D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 Lin</dc:creator>
  <cp:lastModifiedBy>Weili Lin</cp:lastModifiedBy>
  <dcterms:created xsi:type="dcterms:W3CDTF">2026-07-27T02:01:06Z</dcterms:created>
  <dcterms:modified xsi:type="dcterms:W3CDTF">2026-07-27T02:51:31Z</dcterms:modified>
</cp:coreProperties>
</file>